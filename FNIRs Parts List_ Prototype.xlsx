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Justification" sheetId="2" r:id="rId5"/>
  </sheets>
  <definedNames/>
  <calcPr/>
</workbook>
</file>

<file path=xl/sharedStrings.xml><?xml version="1.0" encoding="utf-8"?>
<sst xmlns="http://schemas.openxmlformats.org/spreadsheetml/2006/main" count="29" uniqueCount="28">
  <si>
    <t>Part</t>
  </si>
  <si>
    <t>Specs</t>
  </si>
  <si>
    <t>Price</t>
  </si>
  <si>
    <t>Qt</t>
  </si>
  <si>
    <t>Total Price</t>
  </si>
  <si>
    <t>Link</t>
  </si>
  <si>
    <t>LED IR/RED</t>
  </si>
  <si>
    <t>850nm, 660nm</t>
  </si>
  <si>
    <t>https://www.digikey.com/en/products/detail/american-opto-plus-led/L955SRIRC-TR/13243448?s=N4IgjCBcoJwGwA4qgMZQGYEMA2BnApgDQgD2UA2iACwDsArPEgLrEAOALlCAMrsBOASwB2AcxABfSUA</t>
  </si>
  <si>
    <t>Photodiode</t>
  </si>
  <si>
    <t>https://www.digikey.com/en/products/detail/vishay-semiconductor-opto-division/VEMD5060X01/5879084</t>
  </si>
  <si>
    <t>Opamp</t>
  </si>
  <si>
    <t>low voltage</t>
  </si>
  <si>
    <t>https://www.digikey.com/en/products/detail/microchip-technology/MCP6006UT-E-OT/13985884</t>
  </si>
  <si>
    <t>Resistors</t>
  </si>
  <si>
    <t>https://www.digikey.com/en/products/detail/lumimax-optoelectronic-technology/CR1206FK-60/25628291</t>
  </si>
  <si>
    <t>Caps</t>
  </si>
  <si>
    <t>https://www.digikey.com/en/products/detail/lumimax-optoelectronic-technology/AECSMDK-11/21710722</t>
  </si>
  <si>
    <t>LED IR</t>
  </si>
  <si>
    <t>850nm</t>
  </si>
  <si>
    <t>https://www.digikey.com/en/products/detail/inolux/IN-P32ZTIR/10384796</t>
  </si>
  <si>
    <t>LED RED</t>
  </si>
  <si>
    <t>730nm</t>
  </si>
  <si>
    <t>https://www.digikey.com/en/products/detail/lumileds/L1SP-FRD0002800000/9805569</t>
  </si>
  <si>
    <t>Total</t>
  </si>
  <si>
    <t>Needed Parameters</t>
  </si>
  <si>
    <t>Wave length</t>
  </si>
  <si>
    <t>https://www.pluxbiosignals.com/products/fnirs-pioneer?srsltid=AfmBOorJjOPng-noVbibVtnbuxjOTnxtyD7tsGlh0TuLGuXyn8iSyW8H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</si>
</sst>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222222"/>
      <name val="Arial"/>
      <scheme val="minor"/>
    </font>
    <font>
      <u/>
      <sz val="10.0"/>
      <color rgb="FF222222"/>
      <name val="Arial"/>
      <scheme val="minor"/>
    </font>
    <font>
      <u/>
      <sz val="10.0"/>
      <color rgb="FF0000FF"/>
    </font>
    <font>
      <color theme="1"/>
      <name val="Arial"/>
      <scheme val="minor"/>
    </font>
    <font>
      <u/>
      <sz val="9.0"/>
      <color rgb="FF222222"/>
      <name val="Archiv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164" xfId="0" applyAlignment="1" applyFill="1" applyFont="1" applyNumberFormat="1">
      <alignment horizontal="left" readingOrder="0" shrinkToFit="0" wrapText="0"/>
    </xf>
    <xf borderId="0" fillId="2" fontId="2" numFmtId="164" xfId="0" applyAlignment="1" applyFont="1" applyNumberFormat="1">
      <alignment horizontal="right" readingOrder="0" shrinkToFit="0" wrapText="0"/>
    </xf>
    <xf borderId="0" fillId="2" fontId="3" numFmtId="0" xfId="0" applyAlignment="1" applyFont="1">
      <alignment readingOrder="0"/>
    </xf>
    <xf borderId="0" fillId="0" fontId="1" numFmtId="164" xfId="0" applyFont="1" applyNumberFormat="1"/>
    <xf borderId="0" fillId="0" fontId="4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horizontal="right" readingOrder="0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5" numFmtId="0" xfId="0" applyAlignment="1" applyFont="1">
      <alignment readingOrder="0"/>
    </xf>
    <xf borderId="0" fillId="0" fontId="5" numFmtId="164" xfId="0" applyFont="1" applyNumberFormat="1"/>
    <xf borderId="0" fillId="2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gikey.com/en/products/detail/american-opto-plus-led/L955SRIRC-TR/13243448?s=N4IgjCBcoJwGwA4qgMZQGYEMA2BnApgDQgD2UA2iACwDsArPEgLrEAOALlCAMrsBOASwB2AcxABfSUA" TargetMode="External"/><Relationship Id="rId2" Type="http://schemas.openxmlformats.org/officeDocument/2006/relationships/hyperlink" Target="https://www.digikey.com/en/products/detail/vishay-semiconductor-opto-division/VEMD5060X01/5879084" TargetMode="External"/><Relationship Id="rId3" Type="http://schemas.openxmlformats.org/officeDocument/2006/relationships/hyperlink" Target="https://www.digikey.com/en/products/detail/microchip-technology/MCP6006UT-E-OT/13985884" TargetMode="External"/><Relationship Id="rId4" Type="http://schemas.openxmlformats.org/officeDocument/2006/relationships/hyperlink" Target="https://www.digikey.com/en/products/detail/lumimax-optoelectronic-technology/CR1206FK-60/25628291" TargetMode="External"/><Relationship Id="rId5" Type="http://schemas.openxmlformats.org/officeDocument/2006/relationships/hyperlink" Target="https://www.digikey.com/en/products/detail/lumimax-optoelectronic-technology/AECSMDK-11/21710722" TargetMode="External"/><Relationship Id="rId6" Type="http://schemas.openxmlformats.org/officeDocument/2006/relationships/hyperlink" Target="https://www.digikey.com/en/products/detail/inolux/IN-P32ZTIR/10384796" TargetMode="External"/><Relationship Id="rId7" Type="http://schemas.openxmlformats.org/officeDocument/2006/relationships/hyperlink" Target="https://www.digikey.com/en/products/detail/lumileds/L1SP-FRD0002800000/9805569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luxbiosignals.com/products/fnirs-pioneer?srsltid=AfmBOorJjOPng-noVbibVtnbuxjOTnxtyD7tsGlh0TuLGuXyn8iSyW8H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 t="s">
        <v>7</v>
      </c>
      <c r="C2" s="3">
        <v>0.537</v>
      </c>
      <c r="D2" s="4">
        <v>32.0</v>
      </c>
      <c r="E2" s="5">
        <f t="shared" ref="E2:E8" si="1">C2*D2</f>
        <v>17.184</v>
      </c>
      <c r="F2" s="6" t="s">
        <v>8</v>
      </c>
    </row>
    <row r="3">
      <c r="A3" s="1" t="s">
        <v>9</v>
      </c>
      <c r="B3" s="7"/>
      <c r="C3" s="3">
        <v>1.24</v>
      </c>
      <c r="D3" s="1">
        <v>8.0</v>
      </c>
      <c r="E3" s="5">
        <f t="shared" si="1"/>
        <v>9.92</v>
      </c>
      <c r="F3" s="6" t="s">
        <v>10</v>
      </c>
    </row>
    <row r="4">
      <c r="A4" s="1" t="s">
        <v>11</v>
      </c>
      <c r="B4" s="1" t="s">
        <v>12</v>
      </c>
      <c r="C4" s="8">
        <v>0.2</v>
      </c>
      <c r="D4" s="1">
        <v>20.0</v>
      </c>
      <c r="E4" s="5">
        <f t="shared" si="1"/>
        <v>4</v>
      </c>
      <c r="F4" s="6" t="s">
        <v>13</v>
      </c>
    </row>
    <row r="5">
      <c r="A5" s="1" t="s">
        <v>14</v>
      </c>
      <c r="B5" s="7"/>
      <c r="C5" s="8">
        <v>12.5</v>
      </c>
      <c r="D5" s="1">
        <v>1.0</v>
      </c>
      <c r="E5" s="5">
        <f t="shared" si="1"/>
        <v>12.5</v>
      </c>
      <c r="F5" s="6" t="s">
        <v>15</v>
      </c>
    </row>
    <row r="6">
      <c r="A6" s="1" t="s">
        <v>16</v>
      </c>
      <c r="B6" s="7"/>
      <c r="C6" s="9">
        <v>16.0</v>
      </c>
      <c r="D6" s="1">
        <v>2.0</v>
      </c>
      <c r="E6" s="5">
        <f t="shared" si="1"/>
        <v>32</v>
      </c>
      <c r="F6" s="6" t="s">
        <v>17</v>
      </c>
    </row>
    <row r="7">
      <c r="A7" s="1" t="s">
        <v>18</v>
      </c>
      <c r="B7" s="1" t="s">
        <v>19</v>
      </c>
      <c r="C7" s="9">
        <v>0.26</v>
      </c>
      <c r="D7" s="1">
        <v>10.0</v>
      </c>
      <c r="E7" s="5">
        <f t="shared" si="1"/>
        <v>2.6</v>
      </c>
      <c r="F7" s="6" t="s">
        <v>20</v>
      </c>
    </row>
    <row r="8">
      <c r="A8" s="1" t="s">
        <v>21</v>
      </c>
      <c r="B8" s="1" t="s">
        <v>22</v>
      </c>
      <c r="C8" s="10">
        <v>0.491</v>
      </c>
      <c r="D8" s="1">
        <v>10.0</v>
      </c>
      <c r="E8" s="11">
        <f t="shared" si="1"/>
        <v>4.91</v>
      </c>
      <c r="F8" s="6" t="s">
        <v>23</v>
      </c>
    </row>
    <row r="9">
      <c r="A9" s="7"/>
      <c r="B9" s="7"/>
      <c r="C9" s="7"/>
      <c r="D9" s="7"/>
      <c r="E9" s="7"/>
      <c r="F9" s="7"/>
    </row>
    <row r="10">
      <c r="A10" s="12" t="s">
        <v>24</v>
      </c>
      <c r="E10" s="13">
        <f>SUM(E2:E8)</f>
        <v>83.114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25</v>
      </c>
    </row>
    <row r="2">
      <c r="A2" s="12" t="s">
        <v>26</v>
      </c>
      <c r="B2" s="12" t="s">
        <v>7</v>
      </c>
      <c r="C2" s="14" t="s">
        <v>27</v>
      </c>
    </row>
  </sheetData>
  <hyperlinks>
    <hyperlink r:id="rId1" ref="C2"/>
  </hyperlinks>
  <drawing r:id="rId2"/>
</worksheet>
</file>